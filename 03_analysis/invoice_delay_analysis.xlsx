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9936906-09B2-40A8-8C41-536B635919D6}" xr6:coauthVersionLast="47" xr6:coauthVersionMax="47" xr10:uidLastSave="{00000000-0000-0000-0000-000000000000}"/>
  <bookViews>
    <workbookView xWindow="-108" yWindow="-108" windowWidth="23256" windowHeight="13176" activeTab="1" xr2:uid="{3B9084D4-5D98-45E3-B209-504DF6EB42C3}"/>
  </bookViews>
  <sheets>
    <sheet name="Analysis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5" i="2" s="1"/>
  <c r="E3" i="2"/>
  <c r="E2" i="2"/>
  <c r="D4" i="2"/>
  <c r="D5" i="2"/>
  <c r="D3" i="2"/>
  <c r="D2" i="2"/>
  <c r="L11" i="1"/>
  <c r="L10" i="1"/>
  <c r="L9" i="1"/>
  <c r="L8" i="1"/>
  <c r="L7" i="1"/>
  <c r="L6" i="1"/>
  <c r="L5" i="1"/>
  <c r="L4" i="1"/>
  <c r="L3" i="1"/>
  <c r="L2" i="1"/>
  <c r="K11" i="1"/>
  <c r="K10" i="1"/>
  <c r="K9" i="1"/>
  <c r="K8" i="1"/>
  <c r="K7" i="1"/>
  <c r="K6" i="1"/>
  <c r="K5" i="1"/>
  <c r="K4" i="1"/>
  <c r="K3" i="1"/>
  <c r="K2" i="1"/>
  <c r="J11" i="1"/>
  <c r="J10" i="1"/>
  <c r="J9" i="1"/>
  <c r="J8" i="1"/>
  <c r="J7" i="1"/>
  <c r="J6" i="1"/>
  <c r="J5" i="1"/>
  <c r="J4" i="1"/>
  <c r="J3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<sst xmlns="http://schemas.openxmlformats.org/spreadsheetml/2006/main" count="55" uniqueCount="42">
  <si>
    <t>invoice_id</t>
  </si>
  <si>
    <t>vendor_type</t>
  </si>
  <si>
    <t>risk_flag</t>
  </si>
  <si>
    <t>amount_usd</t>
  </si>
  <si>
    <t>received_timestamp</t>
  </si>
  <si>
    <t>approved_stage1_timestamp</t>
  </si>
  <si>
    <t>approved_stage2_timestamp</t>
  </si>
  <si>
    <t>processed_timestamp</t>
  </si>
  <si>
    <t>R→S1 (days)</t>
  </si>
  <si>
    <t>S1→S2 (days)</t>
  </si>
  <si>
    <t>S2→Processed (days)</t>
  </si>
  <si>
    <t>Total (days)</t>
  </si>
  <si>
    <t>INV-10000</t>
  </si>
  <si>
    <t>Goods</t>
  </si>
  <si>
    <t>High</t>
  </si>
  <si>
    <t>INV-10001</t>
  </si>
  <si>
    <t>Services</t>
  </si>
  <si>
    <t>Low</t>
  </si>
  <si>
    <t>INV-10002</t>
  </si>
  <si>
    <t>INV-10003</t>
  </si>
  <si>
    <t>International</t>
  </si>
  <si>
    <t>Medium</t>
  </si>
  <si>
    <t>INV-10004</t>
  </si>
  <si>
    <t>INV-10005</t>
  </si>
  <si>
    <t>INV-10006</t>
  </si>
  <si>
    <t>INV-10007</t>
  </si>
  <si>
    <t>Local</t>
  </si>
  <si>
    <t>INV-10008</t>
  </si>
  <si>
    <t>INV-10009</t>
  </si>
  <si>
    <t>Notes</t>
  </si>
  <si>
    <t>AP Clerk</t>
  </si>
  <si>
    <t>Mostly fast</t>
  </si>
  <si>
    <t>Stage 1 Approver</t>
  </si>
  <si>
    <t>Often busy</t>
  </si>
  <si>
    <t>Stage 2 Approver</t>
  </si>
  <si>
    <t>Biggest bottleneck</t>
  </si>
  <si>
    <t>Finance</t>
  </si>
  <si>
    <t>Fast</t>
  </si>
  <si>
    <t>Delay %</t>
  </si>
  <si>
    <t>Process Stage Owner</t>
  </si>
  <si>
    <t>Cummulative %</t>
  </si>
  <si>
    <t>Avg wait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</si>
</sst>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Font="1" applyAlignment="1">
      <alignment vertical="center" wrapText="1"/>
    </xf>
    <xf numFmtId="9" fontId="0" fillId="0" borderId="0" xfId="1" applyFont="1"/>
    <xf numFmtId="9" fontId="2" fillId="0" borderId="0" xfId="1" applyFont="1"/>
    <xf numFmtId="9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Pareto Chart of Invoice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281209567113968E-2"/>
          <c:y val="0.13720054757015743"/>
          <c:w val="0.89358377196349914"/>
          <c:h val="0.70512188286525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Avg wait (days)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Chart!$A$2:$A$5</c:f>
              <c:strCache>
                <c:ptCount val="4"/>
                <c:pt idx="0">
                  <c:v>Stage 2 Approver</c:v>
                </c:pt>
                <c:pt idx="1">
                  <c:v>Stage 1 Approver</c:v>
                </c:pt>
                <c:pt idx="2">
                  <c:v>AP Clerk</c:v>
                </c:pt>
                <c:pt idx="3">
                  <c:v>Finance</c:v>
                </c:pt>
              </c:strCache>
            </c:strRef>
          </c:cat>
          <c:val>
            <c:numRef>
              <c:f>Chart!$B$2:$B$5</c:f>
              <c:numCache>
                <c:formatCode>General</c:formatCode>
                <c:ptCount val="4"/>
                <c:pt idx="0">
                  <c:v>9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9-4DAE-AEED-67B65773B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79872143"/>
        <c:axId val="127987463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Chart!$C$1</c15:sqref>
                        </c15:formulaRef>
                      </c:ext>
                    </c:extLst>
                    <c:strCache>
                      <c:ptCount val="1"/>
                      <c:pt idx="0">
                        <c:v>Notes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Chart!$A$2:$A$5</c15:sqref>
                        </c15:formulaRef>
                      </c:ext>
                    </c:extLst>
                    <c:strCache>
                      <c:ptCount val="4"/>
                      <c:pt idx="0">
                        <c:v>Stage 2 Approver</c:v>
                      </c:pt>
                      <c:pt idx="1">
                        <c:v>Stage 1 Approver</c:v>
                      </c:pt>
                      <c:pt idx="2">
                        <c:v>AP Clerk</c:v>
                      </c:pt>
                      <c:pt idx="3">
                        <c:v>Finance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Chart!$C$2:$C$5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0E9-4DAE-AEED-67B65773B1B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Chart!$D$1</c15:sqref>
                        </c15:formulaRef>
                      </c:ext>
                    </c:extLst>
                    <c:strCache>
                      <c:ptCount val="1"/>
                      <c:pt idx="0">
                        <c:v>Delay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Chart!$A$2:$A$5</c15:sqref>
                        </c15:formulaRef>
                      </c:ext>
                    </c:extLst>
                    <c:strCache>
                      <c:ptCount val="4"/>
                      <c:pt idx="0">
                        <c:v>Stage 2 Approver</c:v>
                      </c:pt>
                      <c:pt idx="1">
                        <c:v>Stage 1 Approver</c:v>
                      </c:pt>
                      <c:pt idx="2">
                        <c:v>AP Clerk</c:v>
                      </c:pt>
                      <c:pt idx="3">
                        <c:v>Finance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Chart!$D$2:$D$5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0.6428571428571429</c:v>
                      </c:pt>
                      <c:pt idx="1">
                        <c:v>0.14285714285714285</c:v>
                      </c:pt>
                      <c:pt idx="2">
                        <c:v>0.14285714285714285</c:v>
                      </c:pt>
                      <c:pt idx="3">
                        <c:v>7.1428571428571425E-2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0E9-4DAE-AEED-67B65773B1B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Chart!$E$1</c:f>
              <c:strCache>
                <c:ptCount val="1"/>
                <c:pt idx="0">
                  <c:v>Cummulative 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chemeClr val="accent5">
                  <a:lumMod val="20000"/>
                  <a:lumOff val="80000"/>
                  <a:alpha val="87000"/>
                </a:schemeClr>
              </a:solidFill>
              <a:ln w="9525">
                <a:solidFill>
                  <a:schemeClr val="accent4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Chart!$A$2:$A$5</c:f>
              <c:strCache>
                <c:ptCount val="4"/>
                <c:pt idx="0">
                  <c:v>Stage 2 Approver</c:v>
                </c:pt>
                <c:pt idx="1">
                  <c:v>Stage 1 Approver</c:v>
                </c:pt>
                <c:pt idx="2">
                  <c:v>AP Clerk</c:v>
                </c:pt>
                <c:pt idx="3">
                  <c:v>Finance</c:v>
                </c:pt>
              </c:strCache>
            </c:strRef>
          </c:cat>
          <c:val>
            <c:numRef>
              <c:f>Chart!$E$2:$E$5</c:f>
              <c:numCache>
                <c:formatCode>0%</c:formatCode>
                <c:ptCount val="4"/>
                <c:pt idx="0">
                  <c:v>0.6428571428571429</c:v>
                </c:pt>
                <c:pt idx="1">
                  <c:v>0.78571428571428581</c:v>
                </c:pt>
                <c:pt idx="2">
                  <c:v>0.9285714285714286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E9-4DAE-AEED-67B65773B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63471"/>
        <c:axId val="1342165551"/>
      </c:lineChart>
      <c:catAx>
        <c:axId val="127987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74639"/>
        <c:crosses val="autoZero"/>
        <c:auto val="1"/>
        <c:lblAlgn val="ctr"/>
        <c:lblOffset val="100"/>
        <c:noMultiLvlLbl val="0"/>
      </c:catAx>
      <c:valAx>
        <c:axId val="127987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72143"/>
        <c:crosses val="autoZero"/>
        <c:crossBetween val="between"/>
      </c:valAx>
      <c:valAx>
        <c:axId val="1342165551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63471"/>
        <c:crosses val="max"/>
        <c:crossBetween val="between"/>
      </c:valAx>
      <c:catAx>
        <c:axId val="134216347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342165551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6</xdr:row>
      <xdr:rowOff>68580</xdr:rowOff>
    </xdr:from>
    <xdr:to>
      <xdr:col>5</xdr:col>
      <xdr:colOff>937260</xdr:colOff>
      <xdr:row>26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63ECD7-5A2A-42AF-8C13-394B46162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9BA0-62C2-4326-9A24-C96E1D45B959}">
  <dimension ref="A1:L16"/>
  <sheetViews>
    <sheetView workbookViewId="0">
      <selection activeCell="E18" sqref="E18"/>
    </sheetView>
  </sheetViews>
  <sheetFormatPr defaultRowHeight="16.2" customHeight="1" x14ac:dyDescent="0.3"/>
  <cols>
    <col min="1" max="1" width="16.5546875" customWidth="1"/>
    <col min="2" max="2" width="11.5546875" bestFit="1" customWidth="1"/>
    <col min="3" max="3" width="8" bestFit="1" customWidth="1"/>
    <col min="4" max="4" width="8.6640625" bestFit="1" customWidth="1"/>
    <col min="5" max="8" width="14.6640625" bestFit="1" customWidth="1"/>
    <col min="9" max="9" width="11.5546875" bestFit="1" customWidth="1"/>
    <col min="10" max="10" width="6.77734375" bestFit="1" customWidth="1"/>
    <col min="11" max="11" width="11.5546875" bestFit="1" customWidth="1"/>
    <col min="12" max="12" width="11.109375" customWidth="1"/>
  </cols>
  <sheetData>
    <row r="1" spans="1:12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.2" customHeight="1" x14ac:dyDescent="0.3">
      <c r="A2" s="2" t="s">
        <v>12</v>
      </c>
      <c r="B2" s="2" t="s">
        <v>13</v>
      </c>
      <c r="C2" s="2" t="s">
        <v>14</v>
      </c>
      <c r="D2" s="2">
        <v>2323.2800000000002</v>
      </c>
      <c r="E2" s="3">
        <v>45709.612500000003</v>
      </c>
      <c r="F2" s="3">
        <v>45712.445833333331</v>
      </c>
      <c r="G2" s="3">
        <v>45724.195833333331</v>
      </c>
      <c r="H2" s="3">
        <v>45725.612500000003</v>
      </c>
      <c r="I2" s="5">
        <f>F2-E2</f>
        <v>2.8333333333284827</v>
      </c>
      <c r="J2" s="2">
        <f>G2-F2</f>
        <v>11.75</v>
      </c>
      <c r="K2" s="5">
        <f>H2-G2</f>
        <v>1.4166666666715173</v>
      </c>
      <c r="L2" s="5">
        <f>SUM(I2:K2)</f>
        <v>16</v>
      </c>
    </row>
    <row r="3" spans="1:12" ht="16.2" customHeight="1" x14ac:dyDescent="0.3">
      <c r="A3" s="2" t="s">
        <v>15</v>
      </c>
      <c r="B3" s="2" t="s">
        <v>16</v>
      </c>
      <c r="C3" s="2" t="s">
        <v>17</v>
      </c>
      <c r="D3" s="2">
        <v>3106.53</v>
      </c>
      <c r="E3" s="3">
        <v>45681.097916666666</v>
      </c>
      <c r="F3" s="3">
        <v>45682.13958333333</v>
      </c>
      <c r="G3" s="3">
        <v>45690.347916666666</v>
      </c>
      <c r="H3" s="3">
        <v>45693.181250000001</v>
      </c>
      <c r="I3" s="5">
        <f t="shared" ref="I3:I11" si="0">F3-E3</f>
        <v>1.0416666666642413</v>
      </c>
      <c r="J3" s="5">
        <f t="shared" ref="J3:J11" si="1">G3-F3</f>
        <v>8.2083333333357587</v>
      </c>
      <c r="K3" s="5">
        <f t="shared" ref="K3:K11" si="2">H3-G3</f>
        <v>2.8333333333357587</v>
      </c>
      <c r="L3" s="5">
        <f t="shared" ref="L3:L11" si="3">SUM(I3:K3)</f>
        <v>12.083333333335759</v>
      </c>
    </row>
    <row r="4" spans="1:12" ht="16.2" customHeight="1" x14ac:dyDescent="0.3">
      <c r="A4" s="2" t="s">
        <v>18</v>
      </c>
      <c r="B4" s="2" t="s">
        <v>13</v>
      </c>
      <c r="C4" s="2" t="s">
        <v>14</v>
      </c>
      <c r="D4" s="2">
        <v>1202.22</v>
      </c>
      <c r="E4" s="3">
        <v>45715.904861111114</v>
      </c>
      <c r="F4" s="3">
        <v>45717.571527777778</v>
      </c>
      <c r="G4" s="3">
        <v>45724.946527777778</v>
      </c>
      <c r="H4" s="3">
        <v>45727.571527777778</v>
      </c>
      <c r="I4" s="5">
        <f t="shared" si="0"/>
        <v>1.6666666666642413</v>
      </c>
      <c r="J4" s="5">
        <f t="shared" si="1"/>
        <v>7.375</v>
      </c>
      <c r="K4" s="5">
        <f t="shared" si="2"/>
        <v>2.625</v>
      </c>
      <c r="L4" s="5">
        <f t="shared" si="3"/>
        <v>11.666666666664241</v>
      </c>
    </row>
    <row r="5" spans="1:12" ht="16.2" customHeight="1" x14ac:dyDescent="0.3">
      <c r="A5" s="2" t="s">
        <v>19</v>
      </c>
      <c r="B5" s="2" t="s">
        <v>20</v>
      </c>
      <c r="C5" s="2" t="s">
        <v>21</v>
      </c>
      <c r="D5" s="2">
        <v>3417.52</v>
      </c>
      <c r="E5" s="3">
        <v>45719.618055555555</v>
      </c>
      <c r="F5" s="3">
        <v>45722.534722222219</v>
      </c>
      <c r="G5" s="3">
        <v>45730.618055555555</v>
      </c>
      <c r="H5" s="3">
        <v>45732.368055555555</v>
      </c>
      <c r="I5" s="5">
        <f t="shared" si="0"/>
        <v>2.9166666666642413</v>
      </c>
      <c r="J5" s="5">
        <f t="shared" si="1"/>
        <v>8.0833333333357587</v>
      </c>
      <c r="K5" s="5">
        <f t="shared" si="2"/>
        <v>1.75</v>
      </c>
      <c r="L5" s="5">
        <f t="shared" si="3"/>
        <v>12.75</v>
      </c>
    </row>
    <row r="6" spans="1:12" ht="16.2" customHeight="1" x14ac:dyDescent="0.3">
      <c r="A6" s="2" t="s">
        <v>22</v>
      </c>
      <c r="B6" s="2" t="s">
        <v>16</v>
      </c>
      <c r="C6" s="2" t="s">
        <v>14</v>
      </c>
      <c r="D6" s="2">
        <v>1192.92</v>
      </c>
      <c r="E6" s="3">
        <v>45730.261805555558</v>
      </c>
      <c r="F6" s="3">
        <v>45732.803472222222</v>
      </c>
      <c r="G6" s="3">
        <v>45739.136805555558</v>
      </c>
      <c r="H6" s="3">
        <v>45741.970138888886</v>
      </c>
      <c r="I6" s="5">
        <f t="shared" si="0"/>
        <v>2.5416666666642413</v>
      </c>
      <c r="J6" s="5">
        <f t="shared" si="1"/>
        <v>6.3333333333357587</v>
      </c>
      <c r="K6" s="5">
        <f t="shared" si="2"/>
        <v>2.8333333333284827</v>
      </c>
      <c r="L6" s="5">
        <f t="shared" si="3"/>
        <v>11.708333333328483</v>
      </c>
    </row>
    <row r="7" spans="1:12" ht="16.2" customHeight="1" x14ac:dyDescent="0.3">
      <c r="A7" s="2" t="s">
        <v>23</v>
      </c>
      <c r="B7" s="2" t="s">
        <v>16</v>
      </c>
      <c r="C7" s="2" t="s">
        <v>14</v>
      </c>
      <c r="D7" s="2">
        <v>1330.96</v>
      </c>
      <c r="E7" s="3">
        <v>45717.279861111114</v>
      </c>
      <c r="F7" s="3">
        <v>45718.571527777778</v>
      </c>
      <c r="G7" s="3">
        <v>45729.654861111114</v>
      </c>
      <c r="H7" s="3">
        <v>45732.321527777778</v>
      </c>
      <c r="I7" s="5">
        <f t="shared" si="0"/>
        <v>1.2916666666642413</v>
      </c>
      <c r="J7" s="5">
        <f t="shared" si="1"/>
        <v>11.083333333335759</v>
      </c>
      <c r="K7" s="5">
        <f t="shared" si="2"/>
        <v>2.6666666666642413</v>
      </c>
      <c r="L7" s="5">
        <f t="shared" si="3"/>
        <v>15.041666666664241</v>
      </c>
    </row>
    <row r="8" spans="1:12" ht="16.2" customHeight="1" x14ac:dyDescent="0.3">
      <c r="A8" s="2" t="s">
        <v>24</v>
      </c>
      <c r="B8" s="2" t="s">
        <v>13</v>
      </c>
      <c r="C8" s="2" t="s">
        <v>14</v>
      </c>
      <c r="D8" s="2">
        <v>3886.91</v>
      </c>
      <c r="E8" s="3">
        <v>45661.045138888891</v>
      </c>
      <c r="F8" s="3">
        <v>45663.420138888891</v>
      </c>
      <c r="G8" s="3">
        <v>45672.295138888891</v>
      </c>
      <c r="H8" s="3">
        <v>45674.003472222219</v>
      </c>
      <c r="I8" s="5">
        <f t="shared" si="0"/>
        <v>2.375</v>
      </c>
      <c r="J8" s="5">
        <f t="shared" si="1"/>
        <v>8.875</v>
      </c>
      <c r="K8" s="5">
        <f t="shared" si="2"/>
        <v>1.7083333333284827</v>
      </c>
      <c r="L8" s="5">
        <f t="shared" si="3"/>
        <v>12.958333333328483</v>
      </c>
    </row>
    <row r="9" spans="1:12" ht="16.2" customHeight="1" x14ac:dyDescent="0.3">
      <c r="A9" s="2" t="s">
        <v>25</v>
      </c>
      <c r="B9" s="2" t="s">
        <v>26</v>
      </c>
      <c r="C9" s="2" t="s">
        <v>17</v>
      </c>
      <c r="D9" s="2">
        <v>2628.13</v>
      </c>
      <c r="E9" s="3">
        <v>45691.399305555555</v>
      </c>
      <c r="F9" s="3">
        <v>45694.024305555555</v>
      </c>
      <c r="G9" s="3">
        <v>45705.315972222219</v>
      </c>
      <c r="H9" s="3">
        <v>45708.232638888891</v>
      </c>
      <c r="I9" s="5">
        <f t="shared" si="0"/>
        <v>2.625</v>
      </c>
      <c r="J9" s="5">
        <f t="shared" si="1"/>
        <v>11.291666666664241</v>
      </c>
      <c r="K9" s="5">
        <f t="shared" si="2"/>
        <v>2.9166666666715173</v>
      </c>
      <c r="L9" s="5">
        <f t="shared" si="3"/>
        <v>16.833333333335759</v>
      </c>
    </row>
    <row r="10" spans="1:12" ht="16.2" customHeight="1" x14ac:dyDescent="0.3">
      <c r="A10" s="2" t="s">
        <v>27</v>
      </c>
      <c r="B10" s="2" t="s">
        <v>16</v>
      </c>
      <c r="C10" s="2" t="s">
        <v>21</v>
      </c>
      <c r="D10" s="2">
        <v>1815.93</v>
      </c>
      <c r="E10" s="3">
        <v>45719.305555555555</v>
      </c>
      <c r="F10" s="3">
        <v>45721.805555555555</v>
      </c>
      <c r="G10" s="3">
        <v>45728.388888888891</v>
      </c>
      <c r="H10" s="3">
        <v>45730.347222222219</v>
      </c>
      <c r="I10" s="5">
        <f t="shared" si="0"/>
        <v>2.5</v>
      </c>
      <c r="J10" s="5">
        <f t="shared" si="1"/>
        <v>6.5833333333357587</v>
      </c>
      <c r="K10" s="5">
        <f t="shared" si="2"/>
        <v>1.9583333333284827</v>
      </c>
      <c r="L10" s="5">
        <f t="shared" si="3"/>
        <v>11.041666666664241</v>
      </c>
    </row>
    <row r="11" spans="1:12" ht="16.2" customHeight="1" x14ac:dyDescent="0.3">
      <c r="A11" s="2" t="s">
        <v>28</v>
      </c>
      <c r="B11" s="2" t="s">
        <v>26</v>
      </c>
      <c r="C11" s="2" t="s">
        <v>17</v>
      </c>
      <c r="D11" s="2">
        <v>2145.84</v>
      </c>
      <c r="E11" s="3">
        <v>45717.527777777781</v>
      </c>
      <c r="F11" s="3">
        <v>45719.111111111109</v>
      </c>
      <c r="G11" s="3">
        <v>45728.111111111109</v>
      </c>
      <c r="H11" s="3">
        <v>45729.361111111109</v>
      </c>
      <c r="I11" s="5">
        <f t="shared" si="0"/>
        <v>1.5833333333284827</v>
      </c>
      <c r="J11" s="5">
        <f t="shared" si="1"/>
        <v>9</v>
      </c>
      <c r="K11" s="5">
        <f t="shared" si="2"/>
        <v>1.25</v>
      </c>
      <c r="L11" s="5">
        <f t="shared" si="3"/>
        <v>11.833333333328483</v>
      </c>
    </row>
    <row r="16" spans="1:12" ht="16.2" customHeight="1" x14ac:dyDescent="0.3">
      <c r="I16" s="10"/>
      <c r="J16" s="10"/>
      <c r="K16" s="10"/>
      <c r="L1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7FF2-2A11-4B82-8456-08620FB56544}">
  <dimension ref="A1:E5"/>
  <sheetViews>
    <sheetView tabSelected="1" workbookViewId="0">
      <selection activeCell="H12" sqref="H12"/>
    </sheetView>
  </sheetViews>
  <sheetFormatPr defaultColWidth="16" defaultRowHeight="14.4" x14ac:dyDescent="0.3"/>
  <cols>
    <col min="1" max="1" width="26.33203125" customWidth="1"/>
    <col min="2" max="2" width="15.88671875" customWidth="1"/>
    <col min="3" max="3" width="17.5546875" customWidth="1"/>
  </cols>
  <sheetData>
    <row r="1" spans="1:5" ht="32.4" customHeight="1" x14ac:dyDescent="0.3">
      <c r="A1" s="1" t="s">
        <v>39</v>
      </c>
      <c r="B1" s="1" t="s">
        <v>41</v>
      </c>
      <c r="C1" s="1" t="s">
        <v>29</v>
      </c>
      <c r="D1" s="1" t="s">
        <v>38</v>
      </c>
      <c r="E1" s="1" t="s">
        <v>40</v>
      </c>
    </row>
    <row r="2" spans="1:5" ht="21.6" customHeight="1" x14ac:dyDescent="0.3">
      <c r="A2" s="4" t="s">
        <v>34</v>
      </c>
      <c r="B2" s="4">
        <v>9</v>
      </c>
      <c r="C2" s="4" t="s">
        <v>35</v>
      </c>
      <c r="D2" s="8">
        <f>9/(9+2+1+2)</f>
        <v>0.6428571428571429</v>
      </c>
      <c r="E2" s="9">
        <f>D2</f>
        <v>0.6428571428571429</v>
      </c>
    </row>
    <row r="3" spans="1:5" ht="21.6" customHeight="1" x14ac:dyDescent="0.3">
      <c r="A3" s="4" t="s">
        <v>32</v>
      </c>
      <c r="B3" s="4">
        <v>2</v>
      </c>
      <c r="C3" s="4" t="s">
        <v>33</v>
      </c>
      <c r="D3" s="8">
        <f>2/(9+2+1+2)</f>
        <v>0.14285714285714285</v>
      </c>
      <c r="E3" s="9">
        <f>E2+D3</f>
        <v>0.78571428571428581</v>
      </c>
    </row>
    <row r="4" spans="1:5" ht="21.6" customHeight="1" x14ac:dyDescent="0.3">
      <c r="A4" s="2" t="s">
        <v>30</v>
      </c>
      <c r="B4" s="6">
        <v>2</v>
      </c>
      <c r="C4" s="2" t="s">
        <v>31</v>
      </c>
      <c r="D4" s="7">
        <f>2/(9+2+1+2)</f>
        <v>0.14285714285714285</v>
      </c>
      <c r="E4" s="9">
        <f t="shared" ref="E4:E5" si="0">E3+D4</f>
        <v>0.9285714285714286</v>
      </c>
    </row>
    <row r="5" spans="1:5" ht="21.6" customHeight="1" x14ac:dyDescent="0.3">
      <c r="A5" s="2" t="s">
        <v>36</v>
      </c>
      <c r="B5" s="2">
        <v>1</v>
      </c>
      <c r="C5" s="2" t="s">
        <v>37</v>
      </c>
      <c r="D5" s="7">
        <f>1/(9+2+1+2)</f>
        <v>7.1428571428571425E-2</v>
      </c>
      <c r="E5" s="9">
        <f t="shared" si="0"/>
        <v>1</v>
      </c>
    </row>
  </sheetData>
  <sortState xmlns:xlrd2="http://schemas.microsoft.com/office/spreadsheetml/2017/richdata2" ref="A2:D5">
    <sortCondition descending="1" ref="D2:D5"/>
  </sortState>
  <pageMargins left="0.7" right="0.7" top="0.75" bottom="0.75" header="0.3" footer="0.3"/>
  <pageSetup paperSize="1000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Syahraini</dc:creator>
  <cp:lastModifiedBy>Nur Syahraini</cp:lastModifiedBy>
  <dcterms:created xsi:type="dcterms:W3CDTF">2025-12-05T08:22:12Z</dcterms:created>
  <dcterms:modified xsi:type="dcterms:W3CDTF">2025-12-05T10:03:34Z</dcterms:modified>
</cp:coreProperties>
</file>